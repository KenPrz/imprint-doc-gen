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<sst xmlns="http://schemas.openxmlformats.org/spreadsheetml/2006/main" count="37" uniqueCount="15">
  <si>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53</t>
    </r>
  </si>
  <si>
    <r>
      <rPr>
        <b/>
        <sz val="11"/>
        <rFont val="Calibri"/>
      </rPr>
      <t xml:space="preserve">Imp</t>
    </r>
    <r>
      <rPr>
        <b/>
        <sz val="11"/>
        <rFont val="Calibri"/>
      </rPr>
      <t xml:space="preserve">rint</t>
    </r>
    <r>
      <rPr>
        <b/>
        <sz val="11"/>
        <rFont val="Calibri"/>
      </rPr>
      <t xml:space="preserve"> Do</t>
    </r>
    <r>
      <rPr>
        <b/>
        <sz val="11"/>
        <rFont val="Calibri"/>
      </rPr>
      <t xml:space="preserve">c Ge</t>
    </r>
    <r>
      <rPr>
        <b/>
        <sz val="11"/>
        <rFont val="Calibri"/>
      </rPr>
      <t xml:space="preserve">n —</t>
    </r>
    <r>
      <rPr>
        <b/>
        <sz val="11"/>
        <rFont val="Calibri"/>
      </rPr>
      <t xml:space="preserve"> Caf</t>
    </r>
    <r>
      <rPr>
        <b/>
        <sz val="11"/>
        <rFont val="Calibri"/>
      </rPr>
      <t xml:space="preserve">é &amp;</t>
    </r>
    <r>
      <rPr>
        <b/>
        <sz val="11"/>
        <rFont val="Calibri"/>
      </rPr>
      <t xml:space="preserve"> Tea</t>
    </r>
    <r>
      <rPr>
        <b/>
        <sz val="11"/>
        <rFont val="Calibri"/>
      </rPr>
      <t xml:space="preserve"> &lt;2</t>
    </r>
    <r>
      <rPr>
        <b/>
        <sz val="11"/>
        <rFont val="Calibri"/>
      </rPr>
      <t xml:space="preserve">026&gt;</t>
    </r>
  </si>
  <si>
    <r>
      <rPr>
        <b/>
        <sz val="11"/>
        <rFont val="Calibri"/>
      </rPr>
      <t xml:space="preserve">Z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ë</t>
    </r>
    <r>
      <rPr>
        <b/>
        <sz val="11"/>
        <rFont val="Calibri"/>
      </rPr>
      <t xml:space="preserve"> 山</t>
    </r>
    <r>
      <rPr>
        <b/>
        <sz val="11"/>
        <rFont val="Calibri"/>
      </rPr>
      <t xml:space="preserve">田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&amp; 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ns</t>
    </r>
  </si>
  <si>
    <r>
      <rPr>
        <b/>
        <sz val="11"/>
        <rFont val="Calibri"/>
      </rPr>
      <t xml:space="preserve">  </t>
    </r>
    <r>
      <rPr>
        <b/>
        <sz val="11"/>
        <rFont val="Calibri"/>
      </rPr>
      <t xml:space="preserve">pre</t>
    </r>
    <r>
      <rPr>
        <b/>
        <sz val="11"/>
        <rFont val="Calibri"/>
      </rPr>
      <t xml:space="preserve">se</t>
    </r>
    <r>
      <rPr>
        <b/>
        <sz val="11"/>
        <rFont val="Calibri"/>
      </rPr>
      <t xml:space="preserve">rve</t>
    </r>
    <r>
      <rPr>
        <b/>
        <sz val="11"/>
        <rFont val="Calibri"/>
      </rPr>
      <t xml:space="preserve"> t</t>
    </r>
    <r>
      <rPr>
        <b/>
        <sz val="11"/>
        <rFont val="Calibri"/>
      </rPr>
      <t xml:space="preserve">hes</t>
    </r>
    <r>
      <rPr>
        <b/>
        <sz val="11"/>
        <rFont val="Calibri"/>
      </rPr>
      <t xml:space="preserve">e </t>
    </r>
    <r>
      <rPr>
        <b/>
        <sz val="11"/>
        <rFont val="Calibri"/>
      </rPr>
      <t xml:space="preserve">spa</t>
    </r>
    <r>
      <rPr>
        <b/>
        <sz val="11"/>
        <rFont val="Calibri"/>
      </rPr>
      <t xml:space="preserve">ce</t>
    </r>
    <r>
      <rPr>
        <b/>
        <sz val="11"/>
        <rFont val="Calibri"/>
      </rPr>
      <t xml:space="preserve">s  </t>
    </r>
  </si>
  <si>
    <r>
      <rPr>
        <b/>
        <sz val="11"/>
        <rFont val="Calibri"/>
      </rPr>
      <t xml:space="preserve">=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+</t>
    </r>
    <r>
      <rPr>
        <b/>
        <sz val="11"/>
        <rFont val="Calibri"/>
      </rPr>
      <t xml:space="preserve">1</t>
    </r>
  </si>
  <si>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</si>
  <si>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Q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y</t>
    </r>
  </si>
  <si>
    <r>
      <rPr>
        <b/>
        <sz val="11"/>
        <rFont val="Calibri"/>
      </rPr>
      <t xml:space="preserve">P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</si>
  <si>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</si>
  <si>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1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</si>
  <si>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2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</si>
  <si>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3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</si>
  <si>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4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</si>
  <si>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5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—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Ω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</si>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</sst>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red.png"/><Relationship Id="rId2" Type="http://schemas.openxmlformats.org/officeDocument/2006/relationships/image" Target="../media/blue.png"/><Relationship Id="rId3" Type="http://schemas.openxmlformats.org/officeDocument/2006/relationships/image" Target="../media/red.png"/><Relationship Id="rId4" Type="http://schemas.openxmlformats.org/officeDocument/2006/relationships/image" Target="../media/blue.png"/><Relationship Id="rId5" Type="http://schemas.openxmlformats.org/officeDocument/2006/relationships/image" Target="../media/red.png"/><Relationship Id="rId6" Type="http://schemas.openxmlformats.org/officeDocument/2006/relationships/image" Target="../media/blue.png"/><Relationship Id="rId7" Type="http://schemas.openxmlformats.org/officeDocument/2006/relationships/image" Target="../media/red.png"/><Relationship Id="rId8" Type="http://schemas.openxmlformats.org/officeDocument/2006/relationships/image" Target="../media/blue.png"/><Relationship Id="rId9" Type="http://schemas.openxmlformats.org/officeDocument/2006/relationships/image" Target="../media/red.png"/><Relationship Id="rId10" Type="http://schemas.openxmlformats.org/officeDocument/2006/relationships/image" Target="../media/blue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Attachment red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Attachment blue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Attachment red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Attachment blue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Attachment red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Attachment blue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Attachment red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Attachment blue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Attachment red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Attachment blue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0</v>
      </c>
    </row>
    <row r="3">
      <c r="A3" s="0" t="s">
        <v>3</v>
      </c>
      <c r="B3" s="0" t="b">
        <v>0</v>
      </c>
    </row>
    <row r="4">
      <c r="A4" s="0" t="s">
        <v>4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  <row r="32">
      <c r="A32" s="0">
        <v>8</v>
      </c>
      <c r="B32" s="0">
        <v>2</v>
      </c>
      <c r="C32" s="0">
        <f>A32*$B32+'Lookup Data'!$B$1</f>
        <v>23</v>
      </c>
      <c r="D32" s="0">
        <f>$A32+'Lookup Data'!B$1</f>
        <v>15</v>
      </c>
    </row>
    <row r="33">
      <c r="A33" s="0">
        <v>9</v>
      </c>
      <c r="B33" s="0">
        <v>2</v>
      </c>
      <c r="C33" s="0">
        <f>A33*$B33+'Lookup Data'!$B$1</f>
        <v>25</v>
      </c>
      <c r="D33" s="0">
        <f>$A33+'Lookup Data'!B$1</f>
        <v>16</v>
      </c>
    </row>
    <row r="34">
      <c r="A34" s="0">
        <v>10</v>
      </c>
      <c r="B34" s="0">
        <v>2</v>
      </c>
      <c r="C34" s="0">
        <f>A34*$B34+'Lookup Data'!$B$1</f>
        <v>27</v>
      </c>
      <c r="D34" s="0">
        <f>$A34+'Lookup Data'!B$1</f>
        <v>17</v>
      </c>
    </row>
    <row r="39">
      <c r="A39" s="1" t="s">
        <v>5</v>
      </c>
      <c r="B39" s="1" t="s">
        <v>6</v>
      </c>
      <c r="C39" s="1" t="s">
        <v>7</v>
      </c>
      <c r="D39" s="1" t="s">
        <v>8</v>
      </c>
    </row>
    <row r="40">
      <c r="A40" s="0" t="s">
        <v>9</v>
      </c>
      <c r="B40" s="0">
        <v>1</v>
      </c>
      <c r="C40" s="2">
        <v>12.5</v>
      </c>
      <c r="D40" s="2">
        <f>B40*C40</f>
        <v>12.5</v>
      </c>
    </row>
    <row r="41">
      <c r="A41" s="0" t="s">
        <v>10</v>
      </c>
      <c r="B41" s="0">
        <v>2</v>
      </c>
      <c r="C41" s="2">
        <v>12.5</v>
      </c>
      <c r="D41" s="2">
        <f>B41*C41</f>
        <v>25</v>
      </c>
    </row>
    <row r="42">
      <c r="A42" s="0" t="s">
        <v>11</v>
      </c>
      <c r="B42" s="0">
        <v>3</v>
      </c>
      <c r="C42" s="2">
        <v>12.5</v>
      </c>
      <c r="D42" s="2">
        <f>B42*C42</f>
        <v>37.5</v>
      </c>
    </row>
    <row r="43">
      <c r="A43" s="0" t="s">
        <v>12</v>
      </c>
      <c r="B43" s="0">
        <v>4</v>
      </c>
      <c r="C43" s="2">
        <v>12.5</v>
      </c>
      <c r="D43" s="2">
        <f>B43*C43</f>
        <v>50</v>
      </c>
    </row>
    <row r="44">
      <c r="A44" s="0" t="s">
        <v>13</v>
      </c>
      <c r="B44" s="0">
        <v>5</v>
      </c>
      <c r="C44" s="2">
        <v>12.5</v>
      </c>
      <c r="D44" s="2">
        <f>B44*C44</f>
        <v>62.5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14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